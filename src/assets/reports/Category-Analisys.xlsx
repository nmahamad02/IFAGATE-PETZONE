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FASOFT\petz\"/>
    </mc:Choice>
  </mc:AlternateContent>
  <xr:revisionPtr revIDLastSave="0" documentId="8_{0E98DACC-8EFD-4DB7-8515-1D45256EDA4D}" xr6:coauthVersionLast="47" xr6:coauthVersionMax="47" xr10:uidLastSave="{00000000-0000-0000-0000-000000000000}"/>
  <bookViews>
    <workbookView xWindow="-120" yWindow="-120" windowWidth="29040" windowHeight="15720" xr2:uid="{337C73F3-0353-49E5-969A-67E9875BA822}"/>
  </bookViews>
  <sheets>
    <sheet name="Category wiseanalysys" sheetId="3" r:id="rId1"/>
    <sheet name="get-SLPANSYS" sheetId="5" state="hidden" r:id="rId2"/>
    <sheet name="get-CATANSYS" sheetId="2" state="hidden" r:id="rId3"/>
  </sheets>
  <definedNames>
    <definedName name="ExternalData_1" localSheetId="2" hidden="1">'get-CATANSYS'!$A$1:$E$12</definedName>
    <definedName name="ExternalData_1" localSheetId="1" hidden="1">'get-SLPANSYS'!$A$1:$D$4</definedName>
  </definedNames>
  <calcPr calcId="191029"/>
  <pivotCaches>
    <pivotCache cacheId="50" r:id="rId4"/>
    <pivotCache cacheId="5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3" l="1"/>
  <c r="F10" i="3"/>
  <c r="F11" i="3"/>
  <c r="F12" i="3"/>
  <c r="F4" i="3"/>
  <c r="E15" i="3"/>
  <c r="E16" i="3"/>
  <c r="E17" i="3"/>
  <c r="E18" i="3"/>
  <c r="F14" i="3"/>
  <c r="F16" i="3"/>
  <c r="E5" i="3"/>
  <c r="E20" i="3"/>
  <c r="F9" i="3"/>
  <c r="F13" i="3"/>
  <c r="F18" i="3"/>
  <c r="F19" i="3"/>
  <c r="F20" i="3"/>
  <c r="E7" i="3"/>
  <c r="E8" i="3"/>
  <c r="E9" i="3"/>
  <c r="E10" i="3"/>
  <c r="E4" i="3"/>
  <c r="E6" i="3"/>
  <c r="F6" i="3"/>
  <c r="F7" i="3"/>
  <c r="F8" i="3"/>
  <c r="F17" i="3"/>
  <c r="E11" i="3"/>
  <c r="E12" i="3"/>
  <c r="E13" i="3"/>
  <c r="E14" i="3"/>
  <c r="F21" i="3"/>
  <c r="F15" i="3"/>
  <c r="E19" i="3"/>
  <c r="E2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71C877-03DF-4994-A940-D82FB7231245}" keepAlive="1" name="Query - get-CATANSYS" description="Connection to the 'get-CATANSYS' query in the workbook." type="5" refreshedVersion="8" background="1" saveData="1">
    <dbPr connection="Provider=Microsoft.Mashup.OleDb.1;Data Source=$Workbook$;Location=get-CATANSYS;Extended Properties=&quot;&quot;" command="SELECT * FROM [get-CATANSYS]"/>
  </connection>
  <connection id="2" xr16:uid="{3BF9EC04-FA23-454B-B74E-0AB5A0BB9932}" keepAlive="1" name="Query - get-SLPANSYS" description="Connection to the 'get-SLPANSYS' query in the workbook." type="5" refreshedVersion="8" background="1" saveData="1">
    <dbPr connection="Provider=Microsoft.Mashup.OleDb.1;Data Source=$Workbook$;Location=get-SLPANSYS;Extended Properties=&quot;&quot;" command="SELECT * FROM [get-SLPANSYS]"/>
  </connection>
</connections>
</file>

<file path=xl/sharedStrings.xml><?xml version="1.0" encoding="utf-8"?>
<sst xmlns="http://schemas.openxmlformats.org/spreadsheetml/2006/main" count="64" uniqueCount="33">
  <si>
    <t>Column1.Category</t>
  </si>
  <si>
    <t>Column1.OutstandingBalance</t>
  </si>
  <si>
    <t>Column1.OverdueBalance</t>
  </si>
  <si>
    <t>Column1.PeriodCollection</t>
  </si>
  <si>
    <t>Column1.Business</t>
  </si>
  <si>
    <t>Breeders</t>
  </si>
  <si>
    <t>OTHER</t>
  </si>
  <si>
    <t>EQUINE</t>
  </si>
  <si>
    <t>Farms</t>
  </si>
  <si>
    <t>MM-COOP</t>
  </si>
  <si>
    <t>MM</t>
  </si>
  <si>
    <t>MM-ONL</t>
  </si>
  <si>
    <t>MM-SUPP</t>
  </si>
  <si>
    <t>PS-Anim</t>
  </si>
  <si>
    <t>PS</t>
  </si>
  <si>
    <t>PS-Onl</t>
  </si>
  <si>
    <t>PS-Stores</t>
  </si>
  <si>
    <t>Reseller</t>
  </si>
  <si>
    <t>VET </t>
  </si>
  <si>
    <t>VET</t>
  </si>
  <si>
    <t>Row Labels</t>
  </si>
  <si>
    <t>Grand Total</t>
  </si>
  <si>
    <t>Overdue %</t>
  </si>
  <si>
    <t>Collection %</t>
  </si>
  <si>
    <t>OutstandingBalance</t>
  </si>
  <si>
    <t>OverdueBalance</t>
  </si>
  <si>
    <t>PeriodCollection</t>
  </si>
  <si>
    <t>Column1.Salesperson</t>
  </si>
  <si>
    <t>Ahmed</t>
  </si>
  <si>
    <t>Ayed</t>
  </si>
  <si>
    <t xml:space="preserve">Marwan </t>
  </si>
  <si>
    <t>.OverdueBalance</t>
  </si>
  <si>
    <t>Sales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</si>
</sst>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2" fillId="2" borderId="0" xfId="1" applyNumberFormat="1" applyFont="1" applyFill="1"/>
    <xf numFmtId="10" fontId="0" fillId="3" borderId="0" xfId="1" applyNumberFormat="1" applyFont="1" applyFill="1"/>
    <xf numFmtId="0" fontId="3" fillId="0" borderId="0" xfId="0" pivotButton="1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/>
    <xf numFmtId="0" fontId="0" fillId="0" borderId="0" xfId="0" applyNumberFormat="1"/>
  </cellXfs>
  <cellStyles count="2">
    <cellStyle name="Normal" xfId="0" builtinId="0"/>
    <cellStyle name="Percent" xfId="1" builtinId="5"/>
  </cellStyles>
  <dxfs count="45"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0" formatCode="General"/>
    </dxf>
    <dxf>
      <numFmt numFmtId="164" formatCode="0.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</font>
    </dxf>
    <dxf>
      <font>
        <sz val="12"/>
      </font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[Category-Analisys.xlsx]Category wiseanalysys!PivotTable2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43056904962524"/>
          <c:y val="0.19537252856243364"/>
          <c:w val="0.77109809904429638"/>
          <c:h val="0.64328564759514029"/>
        </c:manualLayout>
      </c:layout>
      <c:areaChart>
        <c:grouping val="standard"/>
        <c:varyColors val="0"/>
        <c:ser>
          <c:idx val="0"/>
          <c:order val="0"/>
          <c:tx>
            <c:strRef>
              <c:f>'Category wiseanalysys'!$B$3</c:f>
              <c:strCache>
                <c:ptCount val="1"/>
                <c:pt idx="0">
                  <c:v>OutstandingBalance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'Category wiseanalysys'!$A$4:$A$19</c:f>
              <c:multiLvlStrCache>
                <c:ptCount val="11"/>
                <c:lvl>
                  <c:pt idx="0">
                    <c:v>MM-COOP</c:v>
                  </c:pt>
                  <c:pt idx="1">
                    <c:v>MM-ONL</c:v>
                  </c:pt>
                  <c:pt idx="2">
                    <c:v>MM-SUPP</c:v>
                  </c:pt>
                  <c:pt idx="3">
                    <c:v>Breeders</c:v>
                  </c:pt>
                  <c:pt idx="4">
                    <c:v>EQUINE</c:v>
                  </c:pt>
                  <c:pt idx="5">
                    <c:v>Farms</c:v>
                  </c:pt>
                  <c:pt idx="6">
                    <c:v>Reseller</c:v>
                  </c:pt>
                  <c:pt idx="7">
                    <c:v>PS-Anim</c:v>
                  </c:pt>
                  <c:pt idx="8">
                    <c:v>PS-Onl</c:v>
                  </c:pt>
                  <c:pt idx="9">
                    <c:v>PS-Stores</c:v>
                  </c:pt>
                  <c:pt idx="10">
                    <c:v>VET </c:v>
                  </c:pt>
                </c:lvl>
                <c:lvl>
                  <c:pt idx="0">
                    <c:v>MM</c:v>
                  </c:pt>
                  <c:pt idx="3">
                    <c:v>OTHER</c:v>
                  </c:pt>
                  <c:pt idx="7">
                    <c:v>PS</c:v>
                  </c:pt>
                  <c:pt idx="10">
                    <c:v>VET</c:v>
                  </c:pt>
                </c:lvl>
              </c:multiLvlStrCache>
            </c:multiLvlStrRef>
          </c:cat>
          <c:val>
            <c:numRef>
              <c:f>'Category wiseanalysys'!$B$4:$B$19</c:f>
              <c:numCache>
                <c:formatCode>General</c:formatCode>
                <c:ptCount val="11"/>
                <c:pt idx="0">
                  <c:v>173132.18100000001</c:v>
                </c:pt>
                <c:pt idx="1">
                  <c:v>39215.680999999997</c:v>
                </c:pt>
                <c:pt idx="2">
                  <c:v>173983.57199999999</c:v>
                </c:pt>
                <c:pt idx="3">
                  <c:v>2515.384</c:v>
                </c:pt>
                <c:pt idx="4">
                  <c:v>30585.746999999999</c:v>
                </c:pt>
                <c:pt idx="5">
                  <c:v>1092.326</c:v>
                </c:pt>
                <c:pt idx="6">
                  <c:v>412.875</c:v>
                </c:pt>
                <c:pt idx="7">
                  <c:v>14915.8</c:v>
                </c:pt>
                <c:pt idx="8">
                  <c:v>0</c:v>
                </c:pt>
                <c:pt idx="9">
                  <c:v>17433.707999999999</c:v>
                </c:pt>
                <c:pt idx="10">
                  <c:v>8843.8089999999993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B-4530-AA90-FF70EB7CFC03}"/>
            </c:ext>
          </c:extLst>
        </c:ser>
        <c:ser>
          <c:idx val="1"/>
          <c:order val="1"/>
          <c:tx>
            <c:strRef>
              <c:f>'Category wiseanalysys'!$C$3</c:f>
              <c:strCache>
                <c:ptCount val="1"/>
                <c:pt idx="0">
                  <c:v>OverdueBalance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'Category wiseanalysys'!$A$4:$A$19</c:f>
              <c:multiLvlStrCache>
                <c:ptCount val="11"/>
                <c:lvl>
                  <c:pt idx="0">
                    <c:v>MM-COOP</c:v>
                  </c:pt>
                  <c:pt idx="1">
                    <c:v>MM-ONL</c:v>
                  </c:pt>
                  <c:pt idx="2">
                    <c:v>MM-SUPP</c:v>
                  </c:pt>
                  <c:pt idx="3">
                    <c:v>Breeders</c:v>
                  </c:pt>
                  <c:pt idx="4">
                    <c:v>EQUINE</c:v>
                  </c:pt>
                  <c:pt idx="5">
                    <c:v>Farms</c:v>
                  </c:pt>
                  <c:pt idx="6">
                    <c:v>Reseller</c:v>
                  </c:pt>
                  <c:pt idx="7">
                    <c:v>PS-Anim</c:v>
                  </c:pt>
                  <c:pt idx="8">
                    <c:v>PS-Onl</c:v>
                  </c:pt>
                  <c:pt idx="9">
                    <c:v>PS-Stores</c:v>
                  </c:pt>
                  <c:pt idx="10">
                    <c:v>VET </c:v>
                  </c:pt>
                </c:lvl>
                <c:lvl>
                  <c:pt idx="0">
                    <c:v>MM</c:v>
                  </c:pt>
                  <c:pt idx="3">
                    <c:v>OTHER</c:v>
                  </c:pt>
                  <c:pt idx="7">
                    <c:v>PS</c:v>
                  </c:pt>
                  <c:pt idx="10">
                    <c:v>VET</c:v>
                  </c:pt>
                </c:lvl>
              </c:multiLvlStrCache>
            </c:multiLvlStrRef>
          </c:cat>
          <c:val>
            <c:numRef>
              <c:f>'Category wiseanalysys'!$C$4:$C$19</c:f>
              <c:numCache>
                <c:formatCode>General</c:formatCode>
                <c:ptCount val="11"/>
                <c:pt idx="0">
                  <c:v>49868.112999999998</c:v>
                </c:pt>
                <c:pt idx="1">
                  <c:v>7441.1880000000001</c:v>
                </c:pt>
                <c:pt idx="2">
                  <c:v>74371.820999999996</c:v>
                </c:pt>
                <c:pt idx="3">
                  <c:v>2388.8339999999998</c:v>
                </c:pt>
                <c:pt idx="4">
                  <c:v>30585.746999999999</c:v>
                </c:pt>
                <c:pt idx="5">
                  <c:v>1092.326</c:v>
                </c:pt>
                <c:pt idx="6">
                  <c:v>412.875</c:v>
                </c:pt>
                <c:pt idx="7">
                  <c:v>14139.8</c:v>
                </c:pt>
                <c:pt idx="8">
                  <c:v>0</c:v>
                </c:pt>
                <c:pt idx="9">
                  <c:v>3211.21</c:v>
                </c:pt>
                <c:pt idx="10">
                  <c:v>7870.9840000000004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5B-4530-AA90-FF70EB7CFC03}"/>
            </c:ext>
          </c:extLst>
        </c:ser>
        <c:ser>
          <c:idx val="2"/>
          <c:order val="2"/>
          <c:tx>
            <c:strRef>
              <c:f>'Category wiseanalysys'!$D$3</c:f>
              <c:strCache>
                <c:ptCount val="1"/>
                <c:pt idx="0">
                  <c:v>PeriodCollection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'Category wiseanalysys'!$A$4:$A$19</c:f>
              <c:multiLvlStrCache>
                <c:ptCount val="11"/>
                <c:lvl>
                  <c:pt idx="0">
                    <c:v>MM-COOP</c:v>
                  </c:pt>
                  <c:pt idx="1">
                    <c:v>MM-ONL</c:v>
                  </c:pt>
                  <c:pt idx="2">
                    <c:v>MM-SUPP</c:v>
                  </c:pt>
                  <c:pt idx="3">
                    <c:v>Breeders</c:v>
                  </c:pt>
                  <c:pt idx="4">
                    <c:v>EQUINE</c:v>
                  </c:pt>
                  <c:pt idx="5">
                    <c:v>Farms</c:v>
                  </c:pt>
                  <c:pt idx="6">
                    <c:v>Reseller</c:v>
                  </c:pt>
                  <c:pt idx="7">
                    <c:v>PS-Anim</c:v>
                  </c:pt>
                  <c:pt idx="8">
                    <c:v>PS-Onl</c:v>
                  </c:pt>
                  <c:pt idx="9">
                    <c:v>PS-Stores</c:v>
                  </c:pt>
                  <c:pt idx="10">
                    <c:v>VET </c:v>
                  </c:pt>
                </c:lvl>
                <c:lvl>
                  <c:pt idx="0">
                    <c:v>MM</c:v>
                  </c:pt>
                  <c:pt idx="3">
                    <c:v>OTHER</c:v>
                  </c:pt>
                  <c:pt idx="7">
                    <c:v>PS</c:v>
                  </c:pt>
                  <c:pt idx="10">
                    <c:v>VET</c:v>
                  </c:pt>
                </c:lvl>
              </c:multiLvlStrCache>
            </c:multiLvlStrRef>
          </c:cat>
          <c:val>
            <c:numRef>
              <c:f>'Category wiseanalysys'!$D$4:$D$19</c:f>
              <c:numCache>
                <c:formatCode>General</c:formatCode>
                <c:ptCount val="11"/>
                <c:pt idx="0">
                  <c:v>31581</c:v>
                </c:pt>
                <c:pt idx="1">
                  <c:v>14528</c:v>
                </c:pt>
                <c:pt idx="2">
                  <c:v>31762</c:v>
                </c:pt>
                <c:pt idx="3">
                  <c:v>446</c:v>
                </c:pt>
                <c:pt idx="4">
                  <c:v>2224</c:v>
                </c:pt>
                <c:pt idx="5">
                  <c:v>0</c:v>
                </c:pt>
                <c:pt idx="6">
                  <c:v>58</c:v>
                </c:pt>
                <c:pt idx="7">
                  <c:v>18334</c:v>
                </c:pt>
                <c:pt idx="8">
                  <c:v>0</c:v>
                </c:pt>
                <c:pt idx="9">
                  <c:v>51877</c:v>
                </c:pt>
                <c:pt idx="10">
                  <c:v>1426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5B-4530-AA90-FF70EB7CFC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106514111"/>
        <c:axId val="1106525631"/>
      </c:areaChart>
      <c:catAx>
        <c:axId val="110651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525631"/>
        <c:crosses val="autoZero"/>
        <c:auto val="1"/>
        <c:lblAlgn val="ctr"/>
        <c:lblOffset val="100"/>
        <c:noMultiLvlLbl val="0"/>
      </c:catAx>
      <c:valAx>
        <c:axId val="110652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514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[Category-Analisys.xlsx]Category wiseanalysys!PivotTable4</c:name>
    <c:fmtId val="0"/>
  </c:pivotSource>
  <c:chart>
    <c:title>
      <c:layout>
        <c:manualLayout>
          <c:xMode val="edge"/>
          <c:yMode val="edge"/>
          <c:x val="0.6635971128608924"/>
          <c:y val="3.60892388451443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19786218729857163"/>
          <c:w val="1"/>
          <c:h val="0.66703379416155861"/>
        </c:manualLayout>
      </c:layout>
      <c:pie3DChart>
        <c:varyColors val="1"/>
        <c:ser>
          <c:idx val="0"/>
          <c:order val="0"/>
          <c:tx>
            <c:strRef>
              <c:f>'Category wiseanalysys'!$I$3</c:f>
              <c:strCache>
                <c:ptCount val="1"/>
                <c:pt idx="0">
                  <c:v>OutstandingBalance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8FDA-4A10-AA4B-982BC19133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8FDA-4A10-AA4B-982BC19133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8FDA-4A10-AA4B-982BC19133C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'Category wiseanalysys'!$H$4:$H$7</c:f>
              <c:strCache>
                <c:ptCount val="3"/>
                <c:pt idx="0">
                  <c:v>Ahmed</c:v>
                </c:pt>
                <c:pt idx="1">
                  <c:v>Ayed</c:v>
                </c:pt>
                <c:pt idx="2">
                  <c:v>Marwan </c:v>
                </c:pt>
              </c:strCache>
            </c:strRef>
          </c:cat>
          <c:val>
            <c:numRef>
              <c:f>'Category wiseanalysys'!$I$4:$I$7</c:f>
              <c:numCache>
                <c:formatCode>0.000</c:formatCode>
                <c:ptCount val="3"/>
                <c:pt idx="0">
                  <c:v>569079.45299999998</c:v>
                </c:pt>
                <c:pt idx="1">
                  <c:v>172888.853</c:v>
                </c:pt>
                <c:pt idx="2">
                  <c:v>199172.72700000001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EF-457F-B447-E2390C2FB409}"/>
            </c:ext>
          </c:extLst>
        </c:ser>
        <c:ser>
          <c:idx val="1"/>
          <c:order val="1"/>
          <c:tx>
            <c:strRef>
              <c:f>'Category wiseanalysys'!$J$3</c:f>
              <c:strCache>
                <c:ptCount val="1"/>
                <c:pt idx="0">
                  <c:v>.OverdueBalance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8FDA-4A10-AA4B-982BC19133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8FDA-4A10-AA4B-982BC19133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8FDA-4A10-AA4B-982BC19133C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'Category wiseanalysys'!$H$4:$H$7</c:f>
              <c:strCache>
                <c:ptCount val="3"/>
                <c:pt idx="0">
                  <c:v>Ahmed</c:v>
                </c:pt>
                <c:pt idx="1">
                  <c:v>Ayed</c:v>
                </c:pt>
                <c:pt idx="2">
                  <c:v>Marwan </c:v>
                </c:pt>
              </c:strCache>
            </c:strRef>
          </c:cat>
          <c:val>
            <c:numRef>
              <c:f>'Category wiseanalysys'!$J$4:$J$7</c:f>
              <c:numCache>
                <c:formatCode>0.000</c:formatCode>
                <c:ptCount val="3"/>
                <c:pt idx="0">
                  <c:v>239640.19500000001</c:v>
                </c:pt>
                <c:pt idx="1">
                  <c:v>74371.820999999996</c:v>
                </c:pt>
                <c:pt idx="2">
                  <c:v>52215.695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EF-457F-B447-E2390C2FB409}"/>
            </c:ext>
          </c:extLst>
        </c:ser>
        <c:ser>
          <c:idx val="2"/>
          <c:order val="2"/>
          <c:tx>
            <c:strRef>
              <c:f>'Category wiseanalysys'!$K$3</c:f>
              <c:strCache>
                <c:ptCount val="1"/>
                <c:pt idx="0">
                  <c:v>PeriodCollection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8FDA-4A10-AA4B-982BC19133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8FDA-4A10-AA4B-982BC19133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8FDA-4A10-AA4B-982BC19133C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'Category wiseanalysys'!$H$4:$H$7</c:f>
              <c:strCache>
                <c:ptCount val="3"/>
                <c:pt idx="0">
                  <c:v>Ahmed</c:v>
                </c:pt>
                <c:pt idx="1">
                  <c:v>Ayed</c:v>
                </c:pt>
                <c:pt idx="2">
                  <c:v>Marwan </c:v>
                </c:pt>
              </c:strCache>
            </c:strRef>
          </c:cat>
          <c:val>
            <c:numRef>
              <c:f>'Category wiseanalysys'!$K$4:$K$7</c:f>
              <c:numCache>
                <c:formatCode>0.000</c:formatCode>
                <c:ptCount val="3"/>
                <c:pt idx="0">
                  <c:v>133407</c:v>
                </c:pt>
                <c:pt idx="1">
                  <c:v>32590</c:v>
                </c:pt>
                <c:pt idx="2">
                  <c:v>41467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EF-457F-B447-E2390C2FB40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565546</xdr:colOff>
      <xdr:row>23</xdr:row>
      <xdr:rowOff>79375</xdr:rowOff>
    </xdr:from>
    <xdr:to>
      <xdr:col>18</xdr:col>
      <xdr:colOff>456406</xdr:colOff>
      <xdr:row>46</xdr:row>
      <xdr:rowOff>59531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E9F1BB-05D6-BBCD-01E1-34BBB9E02E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60520</xdr:colOff>
      <xdr:row>7</xdr:row>
      <xdr:rowOff>158750</xdr:rowOff>
    </xdr:from>
    <xdr:to>
      <xdr:col>18</xdr:col>
      <xdr:colOff>605233</xdr:colOff>
      <xdr:row>22</xdr:row>
      <xdr:rowOff>138906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CB9AD8-B1E1-EAA3-D9BC-4C8F261FB9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ELL" refreshedDate="46054.544874074076" createdVersion="8" refreshedVersion="8" minRefreshableVersion="3" recordCount="3" xr:uid="{D8FE6183-521A-499A-A81D-1EE60DFCEF44}">
  <cacheSource type="worksheet">
    <worksheetSource name="get_SLPANSYS"/>
  </cacheSource>
  <cacheFields count="4">
    <cacheField name="Column1.Salesperson" numFmtId="0">
      <sharedItems count="3">
        <s v="Ahmed"/>
        <s v="Ayed"/>
        <s v="Marwan "/>
      </sharedItems>
    </cacheField>
    <cacheField name="Column1.OutstandingBalance" numFmtId="0">
      <sharedItems containsSemiMixedTypes="0" containsString="0" containsNumber="1" minValue="172888.853" maxValue="569079.45299999998"/>
    </cacheField>
    <cacheField name="Column1.OverdueBalance" numFmtId="0">
      <sharedItems containsSemiMixedTypes="0" containsString="0" containsNumber="1" minValue="52215.695" maxValue="239640.19500000001"/>
    </cacheField>
    <cacheField name="Column1.PeriodCollection" numFmtId="0">
      <sharedItems containsSemiMixedTypes="0" containsString="0" containsNumber="1" containsInteger="1" minValue="32590" maxValue="1334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ELL" refreshedDate="46054.544874421299" createdVersion="8" refreshedVersion="8" minRefreshableVersion="3" recordCount="11" xr:uid="{FA8AC1EB-005D-4BED-A91C-81E2E5079C97}">
  <cacheSource type="worksheet">
    <worksheetSource name="get_CATANSYS"/>
  </cacheSource>
  <cacheFields count="5">
    <cacheField name="Column1.Category" numFmtId="0">
      <sharedItems count="13">
        <s v="Breeders"/>
        <s v="EQUINE"/>
        <s v="Farms"/>
        <s v="MM-COOP"/>
        <s v="MM-ONL"/>
        <s v="MM-SUPP"/>
        <s v="PS-Anim"/>
        <s v="PS-Onl"/>
        <s v="PS-Stores"/>
        <s v="Reseller"/>
        <s v="VET "/>
        <s v="PKSA" u="1"/>
        <s v="Not Assigned" u="1"/>
      </sharedItems>
    </cacheField>
    <cacheField name="Column1.OutstandingBalance" numFmtId="0">
      <sharedItems containsSemiMixedTypes="0" containsString="0" containsNumber="1" minValue="0" maxValue="173983.57199999999"/>
    </cacheField>
    <cacheField name="Column1.OverdueBalance" numFmtId="0">
      <sharedItems containsSemiMixedTypes="0" containsString="0" containsNumber="1" minValue="0" maxValue="74371.820999999996"/>
    </cacheField>
    <cacheField name="Column1.PeriodCollection" numFmtId="0">
      <sharedItems containsSemiMixedTypes="0" containsString="0" containsNumber="1" containsInteger="1" minValue="0" maxValue="51877"/>
    </cacheField>
    <cacheField name="Column1.Business" numFmtId="0">
      <sharedItems count="4">
        <s v="OTHER"/>
        <s v="MM"/>
        <s v="PS"/>
        <s v="V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569079.45299999998"/>
    <n v="239640.19500000001"/>
    <n v="133407"/>
  </r>
  <r>
    <x v="1"/>
    <n v="172888.853"/>
    <n v="74371.820999999996"/>
    <n v="32590"/>
  </r>
  <r>
    <x v="2"/>
    <n v="199172.72700000001"/>
    <n v="52215.695"/>
    <n v="4146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n v="2515.384"/>
    <n v="2388.8339999999998"/>
    <n v="446"/>
    <x v="0"/>
  </r>
  <r>
    <x v="1"/>
    <n v="30585.746999999999"/>
    <n v="30585.746999999999"/>
    <n v="2224"/>
    <x v="0"/>
  </r>
  <r>
    <x v="2"/>
    <n v="1092.326"/>
    <n v="1092.326"/>
    <n v="0"/>
    <x v="0"/>
  </r>
  <r>
    <x v="3"/>
    <n v="173132.18100000001"/>
    <n v="49868.112999999998"/>
    <n v="31581"/>
    <x v="1"/>
  </r>
  <r>
    <x v="4"/>
    <n v="39215.680999999997"/>
    <n v="7441.1880000000001"/>
    <n v="14528"/>
    <x v="1"/>
  </r>
  <r>
    <x v="5"/>
    <n v="173983.57199999999"/>
    <n v="74371.820999999996"/>
    <n v="31762"/>
    <x v="1"/>
  </r>
  <r>
    <x v="6"/>
    <n v="14915.8"/>
    <n v="14139.8"/>
    <n v="18334"/>
    <x v="2"/>
  </r>
  <r>
    <x v="7"/>
    <n v="0"/>
    <n v="0"/>
    <n v="0"/>
    <x v="2"/>
  </r>
  <r>
    <x v="8"/>
    <n v="17433.707999999999"/>
    <n v="3211.21"/>
    <n v="51877"/>
    <x v="2"/>
  </r>
  <r>
    <x v="9"/>
    <n v="412.875"/>
    <n v="412.875"/>
    <n v="58"/>
    <x v="0"/>
  </r>
  <r>
    <x v="10"/>
    <n v="8843.8089999999993"/>
    <n v="7870.9840000000004"/>
    <n v="1426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9AF5DF-C9F1-4E3A-8422-798045776A93}" name="PivotTable4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ales Manager">
  <location ref="H3:K7" firstHeaderRow="0" firstDataRow="1" firstDataCol="1"/>
  <pivotFields count="4">
    <pivotField axis="axisRow" showAll="0">
      <items count="4">
        <item x="0"/>
        <item x="1"/>
        <item x="2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OutstandingBalance" fld="1" baseField="0" baseItem="0"/>
    <dataField name=".OverdueBalance" fld="2" baseField="0" baseItem="0"/>
    <dataField name="PeriodCollection" fld="3" baseField="0" baseItem="0"/>
  </dataFields>
  <formats count="7"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0" type="button" dataOnly="0" labelOnly="1" outline="0" axis="axisRow" fieldPosition="0"/>
    </format>
    <format dxfId="37">
      <pivotArea dataOnly="0" labelOnly="1" fieldPosition="0">
        <references count="1">
          <reference field="0" count="0"/>
        </references>
      </pivotArea>
    </format>
    <format dxfId="36">
      <pivotArea dataOnly="0" labelOnly="1" grandRow="1" outline="0" fieldPosition="0"/>
    </format>
    <format dxfId="3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4">
      <pivotArea outline="0" collapsedLevelsAreSubtotals="1" fieldPosition="0"/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</chartFormats>
  <pivotTableStyleInfo name="PivotStyleMedium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2ECB4D-96CF-49A1-81FB-2318AC7E4374}" name="PivotTable2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D19" firstHeaderRow="0" firstDataRow="1" firstDataCol="1"/>
  <pivotFields count="5">
    <pivotField axis="axisRow" showAll="0">
      <items count="14">
        <item x="0"/>
        <item x="1"/>
        <item x="2"/>
        <item x="3"/>
        <item x="4"/>
        <item x="5"/>
        <item m="1" x="12"/>
        <item m="1" x="11"/>
        <item x="6"/>
        <item x="7"/>
        <item x="8"/>
        <item x="9"/>
        <item x="10"/>
        <item t="default"/>
      </items>
    </pivotField>
    <pivotField dataField="1" showAll="0"/>
    <pivotField dataField="1" showAll="0"/>
    <pivotField dataField="1" showAll="0"/>
    <pivotField axis="axisRow" showAll="0">
      <items count="5">
        <item x="1"/>
        <item x="0"/>
        <item x="2"/>
        <item x="3"/>
        <item t="default"/>
      </items>
    </pivotField>
  </pivotFields>
  <rowFields count="2">
    <field x="4"/>
    <field x="0"/>
  </rowFields>
  <rowItems count="16">
    <i>
      <x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11"/>
    </i>
    <i>
      <x v="2"/>
    </i>
    <i r="1">
      <x v="8"/>
    </i>
    <i r="1">
      <x v="9"/>
    </i>
    <i r="1">
      <x v="10"/>
    </i>
    <i>
      <x v="3"/>
    </i>
    <i r="1"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OutstandingBalance" fld="1" baseField="0" baseItem="0"/>
    <dataField name="OverdueBalance" fld="2" baseField="0" baseItem="0"/>
    <dataField name="PeriodCollection" fld="3" baseField="0" baseItem="0"/>
  </dataFields>
  <formats count="4">
    <format dxfId="44">
      <pivotArea field="4" type="button" dataOnly="0" labelOnly="1" outline="0" axis="axisRow" fieldPosition="0"/>
    </format>
    <format dxfId="4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2">
      <pivotArea field="4" type="button" dataOnly="0" labelOnly="1" outline="0" axis="axisRow" fieldPosition="0"/>
    </format>
    <format dxfId="4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AFFF7A9-99FB-4AFC-857C-0A350D04E639}" autoFormatId="16" applyNumberFormats="0" applyBorderFormats="0" applyFontFormats="0" applyPatternFormats="0" applyAlignmentFormats="0" applyWidthHeightFormats="0">
  <queryTableRefresh nextId="5">
    <queryTableFields count="4">
      <queryTableField id="1" name="Column1.Salesperson" tableColumnId="1"/>
      <queryTableField id="2" name="Column1.OutstandingBalance" tableColumnId="2"/>
      <queryTableField id="3" name="Column1.OverdueBalance" tableColumnId="3"/>
      <queryTableField id="4" name="Column1.PeriodCollection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04C5C4-1D3E-40D2-A0C0-E9215B012299}" autoFormatId="16" applyNumberFormats="0" applyBorderFormats="0" applyFontFormats="0" applyPatternFormats="0" applyAlignmentFormats="0" applyWidthHeightFormats="0">
  <queryTableRefresh nextId="6">
    <queryTableFields count="5">
      <queryTableField id="1" name="Column1.Category" tableColumnId="1"/>
      <queryTableField id="2" name="Column1.OutstandingBalance" tableColumnId="2"/>
      <queryTableField id="3" name="Column1.OverdueBalance" tableColumnId="3"/>
      <queryTableField id="4" name="Column1.PeriodCollection" tableColumnId="4"/>
      <queryTableField id="5" name="Column1.Busines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D60BD0-A593-4CE5-8C47-983D544FAA8B}" name="get_SLPANSYS" displayName="get_SLPANSYS" ref="A1:D4" tableType="queryTable" totalsRowShown="0">
  <autoFilter ref="A1:D4" xr:uid="{B3D60BD0-A593-4CE5-8C47-983D544FAA8B}"/>
  <tableColumns count="4">
    <tableColumn id="1" xr3:uid="{9CAEB972-6789-4ECA-BC5A-8ABB4E097164}" uniqueName="1" name="Column1.Salesperson" queryTableFieldId="1"/>
    <tableColumn id="2" xr3:uid="{BA4A63F3-BA93-4D5E-BB84-88D53D83AFA7}" uniqueName="2" name="Column1.OutstandingBalance" queryTableFieldId="2"/>
    <tableColumn id="3" xr3:uid="{A202E4D9-DC9B-406D-95A5-07BE3F47CE2B}" uniqueName="3" name="Column1.OverdueBalance" queryTableFieldId="3"/>
    <tableColumn id="4" xr3:uid="{FBD12F55-402D-4D7C-A16E-97B133547D76}" uniqueName="4" name="Column1.PeriodCollection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F32CD2-15D3-4525-821D-25B2BD112DC9}" name="get_CATANSYS" displayName="get_CATANSYS" ref="A1:E12" tableType="queryTable" totalsRowShown="0">
  <autoFilter ref="A1:E12" xr:uid="{8AF32CD2-15D3-4525-821D-25B2BD112DC9}"/>
  <tableColumns count="5">
    <tableColumn id="1" xr3:uid="{2F7BF468-84D9-4BEB-BB55-F9600488AC26}" uniqueName="1" name="Column1.Category" queryTableFieldId="1"/>
    <tableColumn id="2" xr3:uid="{96D7DD30-A440-458F-AC5C-2FA534C9A3F0}" uniqueName="2" name="Column1.OutstandingBalance" queryTableFieldId="2"/>
    <tableColumn id="3" xr3:uid="{FBDE5531-DBD5-4751-AB37-40C2C2E6BC1D}" uniqueName="3" name="Column1.OverdueBalance" queryTableFieldId="3"/>
    <tableColumn id="4" xr3:uid="{8D89E71C-3EBB-4428-AA7A-BEA86A124164}" uniqueName="4" name="Column1.PeriodCollection" queryTableFieldId="4"/>
    <tableColumn id="5" xr3:uid="{AA7255D3-3283-4A16-A6A2-83D1DC07E1E2}" uniqueName="5" name="Column1.Business" queryTableFieldId="5" dataDxfId="3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48655-8A71-4913-8064-B5BE6048B729}">
  <dimension ref="A3:K21"/>
  <sheetViews>
    <sheetView tabSelected="1" zoomScale="96" zoomScaleNormal="96" workbookViewId="0">
      <selection activeCell="D7" sqref="D7"/>
    </sheetView>
  </sheetViews>
  <sheetFormatPr defaultRowHeight="15" x14ac:dyDescent="0.25"/>
  <cols>
    <col min="1" max="1" width="16.140625" bestFit="1" customWidth="1"/>
    <col min="2" max="2" width="20.140625" bestFit="1" customWidth="1"/>
    <col min="3" max="3" width="16.42578125" bestFit="1" customWidth="1"/>
    <col min="4" max="4" width="20.28515625" customWidth="1"/>
    <col min="5" max="6" width="19.5703125" customWidth="1"/>
    <col min="8" max="8" width="16.140625" bestFit="1" customWidth="1"/>
    <col min="9" max="9" width="19" bestFit="1" customWidth="1"/>
    <col min="10" max="10" width="16.28515625" bestFit="1" customWidth="1"/>
    <col min="11" max="11" width="16" bestFit="1" customWidth="1"/>
  </cols>
  <sheetData>
    <row r="3" spans="1:11" ht="15.75" x14ac:dyDescent="0.25">
      <c r="A3" s="5" t="s">
        <v>20</v>
      </c>
      <c r="B3" s="6" t="s">
        <v>24</v>
      </c>
      <c r="C3" s="6" t="s">
        <v>25</v>
      </c>
      <c r="D3" s="6" t="s">
        <v>26</v>
      </c>
      <c r="E3" s="7" t="s">
        <v>22</v>
      </c>
      <c r="F3" s="7" t="s">
        <v>23</v>
      </c>
      <c r="H3" s="8" t="s">
        <v>32</v>
      </c>
      <c r="I3" s="9" t="s">
        <v>24</v>
      </c>
      <c r="J3" s="9" t="s">
        <v>31</v>
      </c>
      <c r="K3" s="9" t="s">
        <v>26</v>
      </c>
    </row>
    <row r="4" spans="1:11" x14ac:dyDescent="0.25">
      <c r="A4" s="1" t="s">
        <v>10</v>
      </c>
      <c r="B4" s="12">
        <v>386331.43400000001</v>
      </c>
      <c r="C4" s="12">
        <v>131681.122</v>
      </c>
      <c r="D4" s="12">
        <v>77871</v>
      </c>
      <c r="E4" s="4">
        <f>IFERROR(GETPIVOTDATA("OverdueBalance",$A$3,"Column1.Business",A4)/GETPIVOTDATA("OutstandingBalance",$A$3,"Column1.Business",A4),0)</f>
        <v>0.34085013646598583</v>
      </c>
      <c r="F4" s="4">
        <f>IFERROR(GETPIVOTDATA("PeriodCollection",$A$3,"Column1.Business",A4)/GETPIVOTDATA("OutstandingBalance",$A$3,"Column1.Business",A4),0)</f>
        <v>0.20156527050812023</v>
      </c>
      <c r="H4" s="10" t="s">
        <v>28</v>
      </c>
      <c r="I4" s="11">
        <v>569079.45299999998</v>
      </c>
      <c r="J4" s="11">
        <v>239640.19500000001</v>
      </c>
      <c r="K4" s="11">
        <v>133407</v>
      </c>
    </row>
    <row r="5" spans="1:11" x14ac:dyDescent="0.25">
      <c r="A5" s="2" t="s">
        <v>9</v>
      </c>
      <c r="B5" s="12">
        <v>173132.18100000001</v>
      </c>
      <c r="C5" s="12">
        <v>49868.112999999998</v>
      </c>
      <c r="D5" s="12">
        <v>31581</v>
      </c>
      <c r="E5" s="4">
        <f t="shared" ref="E5:E20" si="0">IFERROR(GETPIVOTDATA("OverdueBalance",$A$3,"Column1.Business",A5)/GETPIVOTDATA("OutstandingBalance",$A$3,"Column1.Business",A5),0)</f>
        <v>0</v>
      </c>
      <c r="F5" s="4">
        <f t="shared" ref="F5:F20" si="1">IFERROR(GETPIVOTDATA("PeriodCollection",$A$3,"Column1.Business",A5)/GETPIVOTDATA("OutstandingBalance",$A$3,"Column1.Business",A5),0)</f>
        <v>0</v>
      </c>
      <c r="H5" s="10" t="s">
        <v>29</v>
      </c>
      <c r="I5" s="11">
        <v>172888.853</v>
      </c>
      <c r="J5" s="11">
        <v>74371.820999999996</v>
      </c>
      <c r="K5" s="11">
        <v>32590</v>
      </c>
    </row>
    <row r="6" spans="1:11" x14ac:dyDescent="0.25">
      <c r="A6" s="2" t="s">
        <v>11</v>
      </c>
      <c r="B6" s="12">
        <v>39215.680999999997</v>
      </c>
      <c r="C6" s="12">
        <v>7441.1880000000001</v>
      </c>
      <c r="D6" s="12">
        <v>14528</v>
      </c>
      <c r="E6" s="4">
        <f t="shared" si="0"/>
        <v>0</v>
      </c>
      <c r="F6" s="4">
        <f t="shared" si="1"/>
        <v>0</v>
      </c>
      <c r="H6" s="10" t="s">
        <v>30</v>
      </c>
      <c r="I6" s="11">
        <v>199172.72700000001</v>
      </c>
      <c r="J6" s="11">
        <v>52215.695</v>
      </c>
      <c r="K6" s="11">
        <v>41467</v>
      </c>
    </row>
    <row r="7" spans="1:11" x14ac:dyDescent="0.25">
      <c r="A7" s="2" t="s">
        <v>12</v>
      </c>
      <c r="B7" s="12">
        <v>173983.57199999999</v>
      </c>
      <c r="C7" s="12">
        <v>74371.820999999996</v>
      </c>
      <c r="D7" s="12">
        <v>31762</v>
      </c>
      <c r="E7" s="4">
        <f t="shared" si="0"/>
        <v>0</v>
      </c>
      <c r="F7" s="4">
        <f t="shared" si="1"/>
        <v>0</v>
      </c>
      <c r="H7" s="10" t="s">
        <v>21</v>
      </c>
      <c r="I7" s="11">
        <v>941141.03300000005</v>
      </c>
      <c r="J7" s="11">
        <v>366227.71100000001</v>
      </c>
      <c r="K7" s="11">
        <v>207464</v>
      </c>
    </row>
    <row r="8" spans="1:11" x14ac:dyDescent="0.25">
      <c r="A8" s="1" t="s">
        <v>6</v>
      </c>
      <c r="B8" s="12">
        <v>34606.332000000002</v>
      </c>
      <c r="C8" s="12">
        <v>34479.781999999999</v>
      </c>
      <c r="D8" s="12">
        <v>2728</v>
      </c>
      <c r="E8" s="4">
        <f t="shared" si="0"/>
        <v>0.99634315477294721</v>
      </c>
      <c r="F8" s="4">
        <f t="shared" si="1"/>
        <v>7.8829504380874577E-2</v>
      </c>
    </row>
    <row r="9" spans="1:11" x14ac:dyDescent="0.25">
      <c r="A9" s="2" t="s">
        <v>5</v>
      </c>
      <c r="B9" s="12">
        <v>2515.384</v>
      </c>
      <c r="C9" s="12">
        <v>2388.8339999999998</v>
      </c>
      <c r="D9" s="12">
        <v>446</v>
      </c>
      <c r="E9" s="4">
        <f t="shared" si="0"/>
        <v>0</v>
      </c>
      <c r="F9" s="4">
        <f t="shared" si="1"/>
        <v>0</v>
      </c>
    </row>
    <row r="10" spans="1:11" x14ac:dyDescent="0.25">
      <c r="A10" s="2" t="s">
        <v>7</v>
      </c>
      <c r="B10" s="12">
        <v>30585.746999999999</v>
      </c>
      <c r="C10" s="12">
        <v>30585.746999999999</v>
      </c>
      <c r="D10" s="12">
        <v>2224</v>
      </c>
      <c r="E10" s="4">
        <f t="shared" si="0"/>
        <v>0</v>
      </c>
      <c r="F10" s="4">
        <f t="shared" si="1"/>
        <v>0</v>
      </c>
    </row>
    <row r="11" spans="1:11" x14ac:dyDescent="0.25">
      <c r="A11" s="2" t="s">
        <v>8</v>
      </c>
      <c r="B11" s="12">
        <v>1092.326</v>
      </c>
      <c r="C11" s="12">
        <v>1092.326</v>
      </c>
      <c r="D11" s="12">
        <v>0</v>
      </c>
      <c r="E11" s="4">
        <f t="shared" si="0"/>
        <v>0</v>
      </c>
      <c r="F11" s="4">
        <f t="shared" si="1"/>
        <v>0</v>
      </c>
    </row>
    <row r="12" spans="1:11" x14ac:dyDescent="0.25">
      <c r="A12" s="2" t="s">
        <v>17</v>
      </c>
      <c r="B12" s="12">
        <v>412.875</v>
      </c>
      <c r="C12" s="12">
        <v>412.875</v>
      </c>
      <c r="D12" s="12">
        <v>58</v>
      </c>
      <c r="E12" s="4">
        <f t="shared" si="0"/>
        <v>0</v>
      </c>
      <c r="F12" s="4">
        <f t="shared" si="1"/>
        <v>0</v>
      </c>
    </row>
    <row r="13" spans="1:11" x14ac:dyDescent="0.25">
      <c r="A13" s="1" t="s">
        <v>14</v>
      </c>
      <c r="B13" s="12">
        <v>32349.507999999998</v>
      </c>
      <c r="C13" s="12">
        <v>17351.009999999998</v>
      </c>
      <c r="D13" s="12">
        <v>70211</v>
      </c>
      <c r="E13" s="4">
        <f t="shared" si="0"/>
        <v>0.53636086211883038</v>
      </c>
      <c r="F13" s="4">
        <f t="shared" si="1"/>
        <v>2.1703884955530084</v>
      </c>
    </row>
    <row r="14" spans="1:11" x14ac:dyDescent="0.25">
      <c r="A14" s="2" t="s">
        <v>13</v>
      </c>
      <c r="B14" s="12">
        <v>14915.8</v>
      </c>
      <c r="C14" s="12">
        <v>14139.8</v>
      </c>
      <c r="D14" s="12">
        <v>18334</v>
      </c>
      <c r="E14" s="4">
        <f t="shared" si="0"/>
        <v>0</v>
      </c>
      <c r="F14" s="4">
        <f t="shared" si="1"/>
        <v>0</v>
      </c>
    </row>
    <row r="15" spans="1:11" x14ac:dyDescent="0.25">
      <c r="A15" s="2" t="s">
        <v>15</v>
      </c>
      <c r="B15" s="12">
        <v>0</v>
      </c>
      <c r="C15" s="12">
        <v>0</v>
      </c>
      <c r="D15" s="12">
        <v>0</v>
      </c>
      <c r="E15" s="4">
        <f t="shared" si="0"/>
        <v>0</v>
      </c>
      <c r="F15" s="4">
        <f t="shared" si="1"/>
        <v>0</v>
      </c>
    </row>
    <row r="16" spans="1:11" x14ac:dyDescent="0.25">
      <c r="A16" s="2" t="s">
        <v>16</v>
      </c>
      <c r="B16" s="12">
        <v>17433.707999999999</v>
      </c>
      <c r="C16" s="12">
        <v>3211.21</v>
      </c>
      <c r="D16" s="12">
        <v>51877</v>
      </c>
      <c r="E16" s="4">
        <f t="shared" si="0"/>
        <v>0</v>
      </c>
      <c r="F16" s="4">
        <f t="shared" si="1"/>
        <v>0</v>
      </c>
    </row>
    <row r="17" spans="1:6" x14ac:dyDescent="0.25">
      <c r="A17" s="1" t="s">
        <v>19</v>
      </c>
      <c r="B17" s="12">
        <v>8843.8089999999993</v>
      </c>
      <c r="C17" s="12">
        <v>7870.9840000000004</v>
      </c>
      <c r="D17" s="12">
        <v>1426</v>
      </c>
      <c r="E17" s="4">
        <f t="shared" si="0"/>
        <v>0.88999932042856211</v>
      </c>
      <c r="F17" s="4">
        <f t="shared" si="1"/>
        <v>0.16124274054313023</v>
      </c>
    </row>
    <row r="18" spans="1:6" x14ac:dyDescent="0.25">
      <c r="A18" s="2" t="s">
        <v>18</v>
      </c>
      <c r="B18" s="12">
        <v>8843.8089999999993</v>
      </c>
      <c r="C18" s="12">
        <v>7870.9840000000004</v>
      </c>
      <c r="D18" s="12">
        <v>1426</v>
      </c>
      <c r="E18" s="4">
        <f t="shared" si="0"/>
        <v>0</v>
      </c>
      <c r="F18" s="4">
        <f t="shared" si="1"/>
        <v>0</v>
      </c>
    </row>
    <row r="19" spans="1:6" x14ac:dyDescent="0.25">
      <c r="A19" s="1" t="s">
        <v>21</v>
      </c>
      <c r="B19" s="12">
        <v>462131.08299999998</v>
      </c>
      <c r="C19" s="12">
        <v>191382.89799999999</v>
      </c>
      <c r="D19" s="12">
        <v>152236</v>
      </c>
      <c r="E19" s="4">
        <f t="shared" si="0"/>
        <v>0</v>
      </c>
      <c r="F19" s="4">
        <f t="shared" si="1"/>
        <v>0</v>
      </c>
    </row>
    <row r="20" spans="1:6" x14ac:dyDescent="0.25">
      <c r="E20" s="4">
        <f t="shared" si="0"/>
        <v>0</v>
      </c>
      <c r="F20" s="4">
        <f t="shared" si="1"/>
        <v>0</v>
      </c>
    </row>
    <row r="21" spans="1:6" x14ac:dyDescent="0.25">
      <c r="E21" s="3">
        <f t="shared" ref="E21" si="2">IFERROR(GETPIVOTDATA("Sum of Column1.OverdueBalance",$A$3,"Column1.Business",A21)/GETPIVOTDATA("Sum of Column1.OutstandingBalance",$A$3,"Column1.Business",A21),0)</f>
        <v>0</v>
      </c>
      <c r="F21" s="3">
        <f t="shared" ref="F21" si="3">IFERROR(GETPIVOTDATA("Sum of Column1.PeriodCollection",$A$3,"Column1.Business",A21)/GETPIVOTDATA("Sum of Column1.OutstandingBalance",$A$3,"Column1.Business",A21),0)</f>
        <v>0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50DA8-6F2D-466A-8CB0-319C075C4BDD}">
  <dimension ref="A1:D4"/>
  <sheetViews>
    <sheetView workbookViewId="0"/>
  </sheetViews>
  <sheetFormatPr defaultRowHeight="15" x14ac:dyDescent="0.25"/>
  <cols>
    <col min="1" max="1" width="22.7109375" bestFit="1" customWidth="1"/>
    <col min="2" max="2" width="30" bestFit="1" customWidth="1"/>
    <col min="3" max="3" width="26.7109375" bestFit="1" customWidth="1"/>
    <col min="4" max="4" width="27" bestFit="1" customWidth="1"/>
  </cols>
  <sheetData>
    <row r="1" spans="1:4" x14ac:dyDescent="0.25">
      <c r="A1" t="s">
        <v>27</v>
      </c>
      <c r="B1" t="s">
        <v>1</v>
      </c>
      <c r="C1" t="s">
        <v>2</v>
      </c>
      <c r="D1" t="s">
        <v>3</v>
      </c>
    </row>
    <row r="2" spans="1:4" x14ac:dyDescent="0.25">
      <c r="A2" t="s">
        <v>28</v>
      </c>
      <c r="B2">
        <v>569079.45299999998</v>
      </c>
      <c r="C2">
        <v>239640.19500000001</v>
      </c>
      <c r="D2">
        <v>133407</v>
      </c>
    </row>
    <row r="3" spans="1:4" x14ac:dyDescent="0.25">
      <c r="A3" t="s">
        <v>29</v>
      </c>
      <c r="B3">
        <v>172888.853</v>
      </c>
      <c r="C3">
        <v>74371.820999999996</v>
      </c>
      <c r="D3">
        <v>32590</v>
      </c>
    </row>
    <row r="4" spans="1:4" x14ac:dyDescent="0.25">
      <c r="A4" t="s">
        <v>30</v>
      </c>
      <c r="B4">
        <v>199172.72700000001</v>
      </c>
      <c r="C4">
        <v>52215.695</v>
      </c>
      <c r="D4">
        <v>41467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E2DF4-9550-466B-B9DF-E5FC8F010FCB}">
  <dimension ref="A1:E12"/>
  <sheetViews>
    <sheetView workbookViewId="0">
      <selection sqref="A1:E14"/>
    </sheetView>
  </sheetViews>
  <sheetFormatPr defaultRowHeight="15" x14ac:dyDescent="0.25"/>
  <cols>
    <col min="1" max="1" width="19.85546875" bestFit="1" customWidth="1"/>
    <col min="2" max="2" width="30" bestFit="1" customWidth="1"/>
    <col min="3" max="3" width="26.7109375" bestFit="1" customWidth="1"/>
    <col min="4" max="4" width="27" bestFit="1" customWidth="1"/>
    <col min="5" max="5" width="19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2515.384</v>
      </c>
      <c r="C2">
        <v>2388.8339999999998</v>
      </c>
      <c r="D2">
        <v>446</v>
      </c>
      <c r="E2" t="s">
        <v>6</v>
      </c>
    </row>
    <row r="3" spans="1:5" x14ac:dyDescent="0.25">
      <c r="A3" t="s">
        <v>7</v>
      </c>
      <c r="B3">
        <v>30585.746999999999</v>
      </c>
      <c r="C3">
        <v>30585.746999999999</v>
      </c>
      <c r="D3">
        <v>2224</v>
      </c>
      <c r="E3" t="s">
        <v>6</v>
      </c>
    </row>
    <row r="4" spans="1:5" x14ac:dyDescent="0.25">
      <c r="A4" t="s">
        <v>8</v>
      </c>
      <c r="B4">
        <v>1092.326</v>
      </c>
      <c r="C4">
        <v>1092.326</v>
      </c>
      <c r="D4">
        <v>0</v>
      </c>
      <c r="E4" t="s">
        <v>6</v>
      </c>
    </row>
    <row r="5" spans="1:5" x14ac:dyDescent="0.25">
      <c r="A5" t="s">
        <v>9</v>
      </c>
      <c r="B5">
        <v>173132.18100000001</v>
      </c>
      <c r="C5">
        <v>49868.112999999998</v>
      </c>
      <c r="D5">
        <v>31581</v>
      </c>
      <c r="E5" t="s">
        <v>10</v>
      </c>
    </row>
    <row r="6" spans="1:5" x14ac:dyDescent="0.25">
      <c r="A6" t="s">
        <v>11</v>
      </c>
      <c r="B6">
        <v>39215.680999999997</v>
      </c>
      <c r="C6">
        <v>7441.1880000000001</v>
      </c>
      <c r="D6">
        <v>14528</v>
      </c>
      <c r="E6" t="s">
        <v>10</v>
      </c>
    </row>
    <row r="7" spans="1:5" x14ac:dyDescent="0.25">
      <c r="A7" t="s">
        <v>12</v>
      </c>
      <c r="B7">
        <v>173983.57199999999</v>
      </c>
      <c r="C7">
        <v>74371.820999999996</v>
      </c>
      <c r="D7">
        <v>31762</v>
      </c>
      <c r="E7" t="s">
        <v>10</v>
      </c>
    </row>
    <row r="8" spans="1:5" x14ac:dyDescent="0.25">
      <c r="A8" t="s">
        <v>13</v>
      </c>
      <c r="B8">
        <v>14915.8</v>
      </c>
      <c r="C8">
        <v>14139.8</v>
      </c>
      <c r="D8">
        <v>18334</v>
      </c>
      <c r="E8" t="s">
        <v>14</v>
      </c>
    </row>
    <row r="9" spans="1:5" x14ac:dyDescent="0.25">
      <c r="A9" t="s">
        <v>15</v>
      </c>
      <c r="B9">
        <v>0</v>
      </c>
      <c r="C9">
        <v>0</v>
      </c>
      <c r="D9">
        <v>0</v>
      </c>
      <c r="E9" t="s">
        <v>14</v>
      </c>
    </row>
    <row r="10" spans="1:5" x14ac:dyDescent="0.25">
      <c r="A10" t="s">
        <v>16</v>
      </c>
      <c r="B10">
        <v>17433.707999999999</v>
      </c>
      <c r="C10">
        <v>3211.21</v>
      </c>
      <c r="D10">
        <v>51877</v>
      </c>
      <c r="E10" t="s">
        <v>14</v>
      </c>
    </row>
    <row r="11" spans="1:5" x14ac:dyDescent="0.25">
      <c r="A11" t="s">
        <v>17</v>
      </c>
      <c r="B11">
        <v>412.875</v>
      </c>
      <c r="C11">
        <v>412.875</v>
      </c>
      <c r="D11">
        <v>58</v>
      </c>
      <c r="E11" t="s">
        <v>6</v>
      </c>
    </row>
    <row r="12" spans="1:5" x14ac:dyDescent="0.25">
      <c r="A12" t="s">
        <v>18</v>
      </c>
      <c r="B12">
        <v>8843.8089999999993</v>
      </c>
      <c r="C12">
        <v>7870.9840000000004</v>
      </c>
      <c r="D12">
        <v>1426</v>
      </c>
      <c r="E12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70C351-77F4-4129-A440-964833DB1F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Category wiseanalysys</vt:lpstr>
      <vt:lpstr>get-SLPANSYS</vt:lpstr>
      <vt:lpstr>get-CATANSYS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2025-12-15T22:19:01Z</dcterms:created>
  <dcterms:modified xsi:type="dcterms:W3CDTF">2026-02-01T21:07:15Z</dcterms:modified>
</cp:coreProperties>
</file>